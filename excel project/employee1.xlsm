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OneDrive\Documents\"/>
    </mc:Choice>
  </mc:AlternateContent>
  <bookViews>
    <workbookView xWindow="0" yWindow="0" windowWidth="19200" windowHeight="7050"/>
  </bookViews>
  <sheets>
    <sheet name="Form" sheetId="1" r:id="rId1"/>
    <sheet name="Database" sheetId="2" r:id="rId2"/>
  </sheets>
  <definedNames>
    <definedName name="_xlnm._FilterDatabase" localSheetId="0" hidden="1">Form!$B$23:$B$34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" l="1"/>
  <c r="C32" i="1"/>
  <c r="C31" i="1"/>
  <c r="C30" i="1"/>
  <c r="C29" i="1"/>
  <c r="C28" i="1"/>
  <c r="C27" i="1"/>
  <c r="C26" i="1"/>
  <c r="C25" i="1"/>
  <c r="C24" i="1"/>
  <c r="C23" i="1"/>
  <c r="F14" i="1"/>
  <c r="C34" i="1" s="1"/>
</calcChain>
</file>

<file path=xl/sharedStrings.xml><?xml version="1.0" encoding="utf-8"?>
<sst xmlns="http://schemas.openxmlformats.org/spreadsheetml/2006/main" count="73" uniqueCount="40">
  <si>
    <t>Employee Data Form</t>
  </si>
  <si>
    <t>Employee Name</t>
  </si>
  <si>
    <t>Employee Code</t>
  </si>
  <si>
    <t>Email ID</t>
  </si>
  <si>
    <t>Date of Birth</t>
  </si>
  <si>
    <t>Department</t>
  </si>
  <si>
    <t>Location</t>
  </si>
  <si>
    <t>Basic Salary</t>
  </si>
  <si>
    <t>HRA</t>
  </si>
  <si>
    <t>Medical</t>
  </si>
  <si>
    <t>Conveyance</t>
  </si>
  <si>
    <t>Deductions</t>
  </si>
  <si>
    <t>Net Pay</t>
  </si>
  <si>
    <t>John</t>
  </si>
  <si>
    <t>Technical</t>
  </si>
  <si>
    <t>XNC100</t>
  </si>
  <si>
    <t>john@xlncad.com</t>
  </si>
  <si>
    <t>Admin</t>
  </si>
  <si>
    <t>Office</t>
  </si>
  <si>
    <t>Lisa</t>
  </si>
  <si>
    <t>XNC203</t>
  </si>
  <si>
    <t>lisa@xlncad.com</t>
  </si>
  <si>
    <t>HR</t>
  </si>
  <si>
    <t>Site</t>
  </si>
  <si>
    <t>Peter</t>
  </si>
  <si>
    <t>XNC299</t>
  </si>
  <si>
    <t>peter@xlncad.com</t>
  </si>
  <si>
    <t>Ajay</t>
  </si>
  <si>
    <t>XNC001</t>
  </si>
  <si>
    <t>ajay@xlncad.com</t>
  </si>
  <si>
    <t>Steven</t>
  </si>
  <si>
    <t>XNC013</t>
  </si>
  <si>
    <t>steven@xlncad.com</t>
  </si>
  <si>
    <t>Accounts</t>
  </si>
  <si>
    <t>Sam</t>
  </si>
  <si>
    <t>XNC020</t>
  </si>
  <si>
    <t>sam@xlncad.com</t>
  </si>
  <si>
    <t>Ember</t>
  </si>
  <si>
    <t>XNC104</t>
  </si>
  <si>
    <t>ember@xlncad.com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</si>
</sst>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rgb="FF000000"/>
      <name val="Segoe U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1" fillId="0" borderId="4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0" xfId="0" applyFill="1"/>
    <xf numFmtId="0" fontId="1" fillId="3" borderId="4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14" fontId="0" fillId="3" borderId="0" xfId="0" applyNumberFormat="1" applyFill="1"/>
    <xf numFmtId="3" fontId="0" fillId="3" borderId="0" xfId="0" applyNumberFormat="1" applyFill="1"/>
    <xf numFmtId="0" fontId="4" fillId="4" borderId="0" xfId="0" applyFont="1" applyFill="1" applyAlignment="1">
      <alignment horizontal="center"/>
    </xf>
    <xf numFmtId="14" fontId="4" fillId="4" borderId="0" xfId="0" applyNumberFormat="1" applyFont="1" applyFill="1" applyAlignment="1">
      <alignment horizontal="center"/>
    </xf>
    <xf numFmtId="14" fontId="0" fillId="0" borderId="0" xfId="0" applyNumberFormat="1"/>
    <xf numFmtId="3" fontId="4" fillId="4" borderId="0" xfId="0" applyNumberFormat="1" applyFont="1" applyFill="1" applyAlignment="1">
      <alignment horizontal="center"/>
    </xf>
    <xf numFmtId="3" fontId="0" fillId="0" borderId="0" xfId="0" applyNumberFormat="1"/>
    <xf numFmtId="0" fontId="3" fillId="3" borderId="0" xfId="0" applyFont="1" applyFill="1" applyBorder="1" applyProtection="1">
      <protection locked="0"/>
    </xf>
    <xf numFmtId="0" fontId="6" fillId="3" borderId="0" xfId="1" applyFill="1" applyBorder="1" applyProtection="1">
      <protection locked="0"/>
    </xf>
    <xf numFmtId="14" fontId="3" fillId="3" borderId="0" xfId="0" applyNumberFormat="1" applyFont="1" applyFill="1" applyBorder="1" applyProtection="1">
      <protection locked="0"/>
    </xf>
    <xf numFmtId="3" fontId="3" fillId="3" borderId="5" xfId="0" applyNumberFormat="1" applyFont="1" applyFill="1" applyBorder="1" applyProtection="1">
      <protection locked="0"/>
    </xf>
    <xf numFmtId="0" fontId="0" fillId="3" borderId="0" xfId="0" applyFill="1" applyProtection="1">
      <protection locked="0"/>
    </xf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D$28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12</xdr:row>
          <xdr:rowOff>184150</xdr:rowOff>
        </xdr:from>
        <xdr:to>
          <xdr:col>2</xdr:col>
          <xdr:colOff>876300</xdr:colOff>
          <xdr:row>14</xdr:row>
          <xdr:rowOff>31750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12</xdr:row>
          <xdr:rowOff>184150</xdr:rowOff>
        </xdr:from>
        <xdr:to>
          <xdr:col>2</xdr:col>
          <xdr:colOff>1289050</xdr:colOff>
          <xdr:row>14</xdr:row>
          <xdr:rowOff>31750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844550</xdr:colOff>
      <xdr:row>1</xdr:row>
      <xdr:rowOff>6350</xdr:rowOff>
    </xdr:from>
    <xdr:to>
      <xdr:col>5</xdr:col>
      <xdr:colOff>1181100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1950" y="190500"/>
          <a:ext cx="3365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1333500</xdr:colOff>
          <xdr:row>14</xdr:row>
          <xdr:rowOff>0</xdr:rowOff>
        </xdr:from>
        <xdr:to>
          <xdr:col>4</xdr:col>
          <xdr:colOff>152400</xdr:colOff>
          <xdr:row>15</xdr:row>
          <xdr:rowOff>25400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F34"/>
  <sheetViews>
    <sheetView showGridLines="0" tabSelected="1" workbookViewId="0">
      <selection activeCell="G7" sqref="G7"/>
    </sheetView>
  </sheetViews>
  <sheetFormatPr defaultRowHeight="14.5" x14ac:dyDescent="0.35"/>
  <cols>
    <col min="1" max="1" width="3.90625" style="9" customWidth="1"/>
    <col min="2" max="2" width="16.7265625" style="9" customWidth="1"/>
    <col min="3" max="3" width="19.90625" style="9" customWidth="1"/>
    <col min="4" max="4" width="8.7265625" style="9"/>
    <col min="5" max="5" width="16.54296875" style="9" customWidth="1"/>
    <col min="6" max="6" width="17.7265625" style="9" customWidth="1"/>
    <col min="7" max="16384" width="8.7265625" style="9"/>
  </cols>
  <sheetData>
    <row r="2" spans="2:6" ht="26" x14ac:dyDescent="0.6">
      <c r="B2" s="24" t="s">
        <v>0</v>
      </c>
      <c r="C2" s="25"/>
      <c r="D2" s="25"/>
      <c r="E2" s="25"/>
      <c r="F2" s="26"/>
    </row>
    <row r="3" spans="2:6" x14ac:dyDescent="0.35">
      <c r="B3" s="1"/>
      <c r="C3" s="2"/>
      <c r="D3" s="2"/>
      <c r="E3" s="2"/>
      <c r="F3" s="3"/>
    </row>
    <row r="4" spans="2:6" x14ac:dyDescent="0.35">
      <c r="B4" s="4" t="s">
        <v>1</v>
      </c>
      <c r="C4" s="19"/>
      <c r="D4" s="2"/>
      <c r="E4" s="5" t="s">
        <v>7</v>
      </c>
      <c r="F4" s="22"/>
    </row>
    <row r="5" spans="2:6" x14ac:dyDescent="0.35">
      <c r="B5" s="4"/>
      <c r="C5" s="2"/>
      <c r="D5" s="2"/>
      <c r="E5" s="5"/>
      <c r="F5" s="3"/>
    </row>
    <row r="6" spans="2:6" x14ac:dyDescent="0.35">
      <c r="B6" s="4" t="s">
        <v>2</v>
      </c>
      <c r="C6" s="19"/>
      <c r="D6" s="2"/>
      <c r="E6" s="5" t="s">
        <v>8</v>
      </c>
      <c r="F6" s="22"/>
    </row>
    <row r="7" spans="2:6" x14ac:dyDescent="0.35">
      <c r="B7" s="4"/>
      <c r="C7" s="2"/>
      <c r="D7" s="2"/>
      <c r="E7" s="5"/>
      <c r="F7" s="3"/>
    </row>
    <row r="8" spans="2:6" x14ac:dyDescent="0.35">
      <c r="B8" s="4" t="s">
        <v>3</v>
      </c>
      <c r="C8" s="20"/>
      <c r="D8" s="2"/>
      <c r="E8" s="5" t="s">
        <v>9</v>
      </c>
      <c r="F8" s="22"/>
    </row>
    <row r="9" spans="2:6" x14ac:dyDescent="0.35">
      <c r="B9" s="4"/>
      <c r="C9" s="2"/>
      <c r="D9" s="2"/>
      <c r="E9" s="5"/>
      <c r="F9" s="3"/>
    </row>
    <row r="10" spans="2:6" x14ac:dyDescent="0.35">
      <c r="B10" s="4" t="s">
        <v>4</v>
      </c>
      <c r="C10" s="21"/>
      <c r="D10" s="2"/>
      <c r="E10" s="5" t="s">
        <v>10</v>
      </c>
      <c r="F10" s="22"/>
    </row>
    <row r="11" spans="2:6" x14ac:dyDescent="0.35">
      <c r="B11" s="4"/>
      <c r="C11" s="2"/>
      <c r="D11" s="2"/>
      <c r="E11" s="5"/>
      <c r="F11" s="3"/>
    </row>
    <row r="12" spans="2:6" x14ac:dyDescent="0.35">
      <c r="B12" s="4" t="s">
        <v>5</v>
      </c>
      <c r="C12" s="19"/>
      <c r="D12" s="2"/>
      <c r="E12" s="5" t="s">
        <v>11</v>
      </c>
      <c r="F12" s="22"/>
    </row>
    <row r="13" spans="2:6" x14ac:dyDescent="0.35">
      <c r="B13" s="4"/>
      <c r="C13" s="2"/>
      <c r="D13" s="2"/>
      <c r="E13" s="5"/>
      <c r="F13" s="3"/>
    </row>
    <row r="14" spans="2:6" x14ac:dyDescent="0.35">
      <c r="B14" s="4" t="s">
        <v>6</v>
      </c>
      <c r="C14" s="2"/>
      <c r="D14" s="2"/>
      <c r="E14" s="5" t="s">
        <v>12</v>
      </c>
      <c r="F14" s="22">
        <f>F4+F6+F8+F10-F12</f>
        <v>0</v>
      </c>
    </row>
    <row r="15" spans="2:6" x14ac:dyDescent="0.35">
      <c r="B15" s="1"/>
      <c r="C15" s="2"/>
      <c r="D15" s="2"/>
      <c r="E15" s="2"/>
      <c r="F15" s="3"/>
    </row>
    <row r="16" spans="2:6" x14ac:dyDescent="0.35">
      <c r="B16" s="6"/>
      <c r="C16" s="7"/>
      <c r="D16" s="7"/>
      <c r="E16" s="7"/>
      <c r="F16" s="8"/>
    </row>
    <row r="23" spans="2:4" x14ac:dyDescent="0.35">
      <c r="B23" s="10" t="s">
        <v>1</v>
      </c>
      <c r="C23" s="9">
        <f>C4</f>
        <v>0</v>
      </c>
    </row>
    <row r="24" spans="2:4" x14ac:dyDescent="0.35">
      <c r="B24" s="10" t="s">
        <v>2</v>
      </c>
      <c r="C24" s="9">
        <f>C6</f>
        <v>0</v>
      </c>
    </row>
    <row r="25" spans="2:4" x14ac:dyDescent="0.35">
      <c r="B25" s="10" t="s">
        <v>3</v>
      </c>
      <c r="C25" s="9">
        <f>C8</f>
        <v>0</v>
      </c>
    </row>
    <row r="26" spans="2:4" x14ac:dyDescent="0.35">
      <c r="B26" s="10" t="s">
        <v>4</v>
      </c>
      <c r="C26" s="12">
        <f>C10</f>
        <v>0</v>
      </c>
    </row>
    <row r="27" spans="2:4" x14ac:dyDescent="0.35">
      <c r="B27" s="10" t="s">
        <v>5</v>
      </c>
      <c r="C27" s="9">
        <f>C12</f>
        <v>0</v>
      </c>
    </row>
    <row r="28" spans="2:4" x14ac:dyDescent="0.35">
      <c r="B28" s="10" t="s">
        <v>6</v>
      </c>
      <c r="C28" s="9" t="str">
        <f>IF(D28=1,"Site","Office")</f>
        <v>Site</v>
      </c>
      <c r="D28" s="23">
        <v>1</v>
      </c>
    </row>
    <row r="29" spans="2:4" x14ac:dyDescent="0.35">
      <c r="B29" s="11" t="s">
        <v>7</v>
      </c>
      <c r="C29" s="13">
        <f>F4</f>
        <v>0</v>
      </c>
    </row>
    <row r="30" spans="2:4" x14ac:dyDescent="0.35">
      <c r="B30" s="11" t="s">
        <v>8</v>
      </c>
      <c r="C30" s="13">
        <f>F6</f>
        <v>0</v>
      </c>
    </row>
    <row r="31" spans="2:4" x14ac:dyDescent="0.35">
      <c r="B31" s="11" t="s">
        <v>9</v>
      </c>
      <c r="C31" s="13">
        <f>F8</f>
        <v>0</v>
      </c>
    </row>
    <row r="32" spans="2:4" x14ac:dyDescent="0.35">
      <c r="B32" s="11" t="s">
        <v>10</v>
      </c>
      <c r="C32" s="13">
        <f>F10</f>
        <v>0</v>
      </c>
    </row>
    <row r="33" spans="2:3" x14ac:dyDescent="0.35">
      <c r="B33" s="11" t="s">
        <v>11</v>
      </c>
      <c r="C33" s="13">
        <f>F12</f>
        <v>0</v>
      </c>
    </row>
    <row r="34" spans="2:3" x14ac:dyDescent="0.35">
      <c r="B34" s="11" t="s">
        <v>12</v>
      </c>
      <c r="C34" s="13">
        <f>F14</f>
        <v>0</v>
      </c>
    </row>
  </sheetData>
  <mergeCells count="1">
    <mergeCell ref="B2:F2"/>
  </mergeCells>
  <dataValidations count="1">
    <dataValidation type="list" allowBlank="1" showInputMessage="1" showErrorMessage="1" sqref="C12">
      <formula1>"Technical,Admin,Accounts,HR"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2</xdr:col>
                    <xdr:colOff>25400</xdr:colOff>
                    <xdr:row>12</xdr:row>
                    <xdr:rowOff>184150</xdr:rowOff>
                  </from>
                  <to>
                    <xdr:col>2</xdr:col>
                    <xdr:colOff>876300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2</xdr:col>
                    <xdr:colOff>438150</xdr:colOff>
                    <xdr:row>12</xdr:row>
                    <xdr:rowOff>184150</xdr:rowOff>
                  </from>
                  <to>
                    <xdr:col>2</xdr:col>
                    <xdr:colOff>1289050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ollectData">
                <anchor moveWithCells="1" sizeWithCells="1">
                  <from>
                    <xdr:col>2</xdr:col>
                    <xdr:colOff>1333500</xdr:colOff>
                    <xdr:row>14</xdr:row>
                    <xdr:rowOff>0</xdr:rowOff>
                  </from>
                  <to>
                    <xdr:col>4</xdr:col>
                    <xdr:colOff>152400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10"/>
  <sheetViews>
    <sheetView workbookViewId="0">
      <selection activeCell="B3" sqref="B3:M3"/>
    </sheetView>
  </sheetViews>
  <sheetFormatPr defaultRowHeight="14.5" x14ac:dyDescent="0.35"/>
  <cols>
    <col min="1" max="1" width="3.81640625" customWidth="1"/>
    <col min="2" max="2" width="15.81640625" bestFit="1" customWidth="1"/>
    <col min="3" max="3" width="15" bestFit="1" customWidth="1"/>
    <col min="4" max="4" width="17.7265625" bestFit="1" customWidth="1"/>
    <col min="5" max="5" width="12.36328125" style="16" bestFit="1" customWidth="1"/>
    <col min="6" max="6" width="11.90625" bestFit="1" customWidth="1"/>
    <col min="7" max="7" width="8.54296875" bestFit="1" customWidth="1"/>
    <col min="8" max="8" width="11.453125" style="18" bestFit="1" customWidth="1"/>
    <col min="9" max="9" width="6.26953125" style="18" bestFit="1" customWidth="1"/>
    <col min="10" max="10" width="8.08984375" style="18" bestFit="1" customWidth="1"/>
    <col min="11" max="11" width="11.7265625" style="18" bestFit="1" customWidth="1"/>
    <col min="12" max="12" width="11.08984375" style="18" bestFit="1" customWidth="1"/>
    <col min="13" max="13" width="7.81640625" style="18" bestFit="1" customWidth="1"/>
  </cols>
  <sheetData>
    <row r="2" spans="2:13" ht="15.5" x14ac:dyDescent="0.35">
      <c r="B2" s="14" t="s">
        <v>1</v>
      </c>
      <c r="C2" s="14" t="s">
        <v>2</v>
      </c>
      <c r="D2" s="14" t="s">
        <v>3</v>
      </c>
      <c r="E2" s="15" t="s">
        <v>4</v>
      </c>
      <c r="F2" s="14" t="s">
        <v>5</v>
      </c>
      <c r="G2" s="14" t="s">
        <v>6</v>
      </c>
      <c r="H2" s="17" t="s">
        <v>7</v>
      </c>
      <c r="I2" s="17" t="s">
        <v>8</v>
      </c>
      <c r="J2" s="17" t="s">
        <v>9</v>
      </c>
      <c r="K2" s="17" t="s">
        <v>10</v>
      </c>
      <c r="L2" s="17" t="s">
        <v>11</v>
      </c>
      <c r="M2" s="17" t="s">
        <v>12</v>
      </c>
    </row>
    <row r="3" spans="2:13" x14ac:dyDescent="0.35">
      <c r="B3" t="s">
        <v>37</v>
      </c>
      <c r="C3" t="s">
        <v>38</v>
      </c>
      <c r="D3" t="s">
        <v>39</v>
      </c>
      <c r="E3" s="16">
        <v>33176</v>
      </c>
      <c r="F3" t="s">
        <v>22</v>
      </c>
      <c r="G3" t="s">
        <v>23</v>
      </c>
      <c r="H3" s="18">
        <v>29000</v>
      </c>
      <c r="I3" s="18">
        <v>17000</v>
      </c>
      <c r="J3" s="18">
        <v>5500</v>
      </c>
      <c r="K3" s="18">
        <v>1620</v>
      </c>
      <c r="L3" s="18">
        <v>1400</v>
      </c>
      <c r="M3" s="18">
        <v>51720</v>
      </c>
    </row>
    <row r="4" spans="2:13" x14ac:dyDescent="0.35">
      <c r="B4" t="s">
        <v>34</v>
      </c>
      <c r="C4" t="s">
        <v>35</v>
      </c>
      <c r="D4" t="s">
        <v>36</v>
      </c>
      <c r="E4" s="16">
        <v>33440</v>
      </c>
      <c r="F4" t="s">
        <v>14</v>
      </c>
      <c r="G4" t="s">
        <v>18</v>
      </c>
      <c r="H4" s="18">
        <v>32000</v>
      </c>
      <c r="I4" s="18">
        <v>12000</v>
      </c>
      <c r="J4" s="18">
        <v>2300</v>
      </c>
      <c r="K4" s="18">
        <v>1400</v>
      </c>
      <c r="L4" s="18">
        <v>1620</v>
      </c>
      <c r="M4" s="18">
        <v>46080</v>
      </c>
    </row>
    <row r="5" spans="2:13" x14ac:dyDescent="0.35">
      <c r="B5">
        <v>0</v>
      </c>
      <c r="C5">
        <v>0</v>
      </c>
      <c r="D5">
        <v>0</v>
      </c>
      <c r="E5" s="16">
        <v>0</v>
      </c>
      <c r="F5">
        <v>0</v>
      </c>
      <c r="G5" t="s">
        <v>23</v>
      </c>
      <c r="H5" s="18">
        <v>0</v>
      </c>
      <c r="I5" s="18">
        <v>0</v>
      </c>
      <c r="J5" s="18">
        <v>0</v>
      </c>
      <c r="K5" s="18">
        <v>0</v>
      </c>
      <c r="L5" s="18">
        <v>0</v>
      </c>
      <c r="M5" s="18">
        <v>0</v>
      </c>
    </row>
    <row r="6" spans="2:13" x14ac:dyDescent="0.35">
      <c r="B6" t="s">
        <v>30</v>
      </c>
      <c r="C6" t="s">
        <v>31</v>
      </c>
      <c r="D6" t="s">
        <v>32</v>
      </c>
      <c r="E6" s="16">
        <v>31912</v>
      </c>
      <c r="F6" t="s">
        <v>33</v>
      </c>
      <c r="G6" t="s">
        <v>23</v>
      </c>
      <c r="H6" s="18">
        <v>38000</v>
      </c>
      <c r="I6" s="18">
        <v>13000</v>
      </c>
      <c r="J6" s="18">
        <v>4600</v>
      </c>
      <c r="K6" s="18">
        <v>1800</v>
      </c>
      <c r="L6" s="18">
        <v>1680</v>
      </c>
      <c r="M6" s="18">
        <v>55720</v>
      </c>
    </row>
    <row r="7" spans="2:13" x14ac:dyDescent="0.35">
      <c r="B7" t="s">
        <v>27</v>
      </c>
      <c r="C7" t="s">
        <v>28</v>
      </c>
      <c r="D7" t="s">
        <v>29</v>
      </c>
      <c r="E7" s="16">
        <v>31109</v>
      </c>
      <c r="F7" t="s">
        <v>14</v>
      </c>
      <c r="G7" t="s">
        <v>18</v>
      </c>
      <c r="H7" s="18">
        <v>60000</v>
      </c>
      <c r="I7" s="18">
        <v>22000</v>
      </c>
      <c r="J7" s="18">
        <v>6500</v>
      </c>
      <c r="K7" s="18">
        <v>5400</v>
      </c>
      <c r="L7" s="18">
        <v>1800</v>
      </c>
      <c r="M7" s="18">
        <v>92100</v>
      </c>
    </row>
    <row r="8" spans="2:13" x14ac:dyDescent="0.35">
      <c r="B8" t="s">
        <v>24</v>
      </c>
      <c r="C8" t="s">
        <v>25</v>
      </c>
      <c r="D8" t="s">
        <v>26</v>
      </c>
      <c r="E8" s="16">
        <v>29607</v>
      </c>
      <c r="F8" t="s">
        <v>17</v>
      </c>
      <c r="G8" t="s">
        <v>23</v>
      </c>
      <c r="H8" s="18">
        <v>30000</v>
      </c>
      <c r="I8" s="18">
        <v>14000</v>
      </c>
      <c r="J8" s="18">
        <v>5000</v>
      </c>
      <c r="K8" s="18">
        <v>4500</v>
      </c>
      <c r="L8" s="18">
        <v>1550</v>
      </c>
      <c r="M8" s="18">
        <v>51950</v>
      </c>
    </row>
    <row r="9" spans="2:13" x14ac:dyDescent="0.35">
      <c r="B9" t="s">
        <v>19</v>
      </c>
      <c r="C9" t="s">
        <v>20</v>
      </c>
      <c r="D9" t="s">
        <v>21</v>
      </c>
      <c r="E9" s="16">
        <v>31393</v>
      </c>
      <c r="F9" t="s">
        <v>22</v>
      </c>
      <c r="G9" t="s">
        <v>23</v>
      </c>
      <c r="H9" s="18">
        <v>28000</v>
      </c>
      <c r="I9" s="18">
        <v>12500</v>
      </c>
      <c r="J9" s="18">
        <v>4500</v>
      </c>
      <c r="K9" s="18">
        <v>3500</v>
      </c>
      <c r="L9" s="18">
        <v>1200</v>
      </c>
      <c r="M9" s="18">
        <v>47300</v>
      </c>
    </row>
    <row r="10" spans="2:13" x14ac:dyDescent="0.35">
      <c r="B10" t="s">
        <v>13</v>
      </c>
      <c r="C10" t="s">
        <v>15</v>
      </c>
      <c r="D10" t="s">
        <v>16</v>
      </c>
      <c r="E10" s="16">
        <v>27770</v>
      </c>
      <c r="F10" t="s">
        <v>17</v>
      </c>
      <c r="G10" t="s">
        <v>18</v>
      </c>
      <c r="H10" s="18">
        <v>40000</v>
      </c>
      <c r="I10" s="18">
        <v>18000</v>
      </c>
      <c r="J10" s="18">
        <v>6000</v>
      </c>
      <c r="K10" s="18">
        <v>5000</v>
      </c>
      <c r="L10" s="18">
        <v>1700</v>
      </c>
      <c r="M10" s="18">
        <v>67300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2025-05-28T10:22:22Z</dcterms:created>
  <dcterms:modified xsi:type="dcterms:W3CDTF">2025-05-28T18:20:03Z</dcterms:modified>
</cp:coreProperties>
</file>